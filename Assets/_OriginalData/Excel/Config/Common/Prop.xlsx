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1265" tabRatio="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BD3AA878E3B48F6B93BD94C884F1441" descr="icon_heart"/>
        <xdr:cNvPicPr/>
      </xdr:nvPicPr>
      <xdr:blipFill>
        <a:blip r:embed="rId1"/>
        <a:stretch>
          <a:fillRect/>
        </a:stretch>
      </xdr:blipFill>
      <xdr:spPr>
        <a:xfrm>
          <a:off x="0" y="0"/>
          <a:ext cx="1625600" cy="1625600"/>
        </a:xfrm>
        <a:prstGeom prst="rect">
          <a:avLst/>
        </a:prstGeom>
      </xdr:spPr>
    </xdr:pic>
  </etc:cellImage>
  <etc:cellImage>
    <xdr:pic>
      <xdr:nvPicPr>
        <xdr:cNvPr id="13" name="ID_BF121E495A924C9C81BAD750C6530409" descr="icon_screw_2101"/>
        <xdr:cNvPicPr/>
      </xdr:nvPicPr>
      <xdr:blipFill>
        <a:blip r:embed="rId2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18" name="ID_24FEB584921A4827AA5E9DA269E99635" descr="icon_jam_2203"/>
        <xdr:cNvPicPr/>
      </xdr:nvPicPr>
      <xdr:blipFill>
        <a:blip r:embed="rId3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24" name="ID_0254CAB0A0444BDE9711CB6F00184B94" descr="icon_coin"/>
        <xdr:cNvPicPr/>
      </xdr:nvPicPr>
      <xdr:blipFill>
        <a:blip r:embed="rId4"/>
        <a:stretch>
          <a:fillRect/>
        </a:stretch>
      </xdr:blipFill>
      <xdr:spPr>
        <a:xfrm>
          <a:off x="0" y="0"/>
          <a:ext cx="1625600" cy="1625600"/>
        </a:xfrm>
        <a:prstGeom prst="rect">
          <a:avLst/>
        </a:prstGeom>
      </xdr:spPr>
    </xdr:pic>
  </etc:cellImage>
  <etc:cellImage>
    <xdr:pic>
      <xdr:nvPicPr>
        <xdr:cNvPr id="25" name="ID_B63BBEDD626B4C73A3A0A03E1A905A35" descr="icon_screw_2102"/>
        <xdr:cNvPicPr/>
      </xdr:nvPicPr>
      <xdr:blipFill>
        <a:blip r:embed="rId5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26" name="ID_7DA6758F91324D5FB4776157E63B4869" descr="icon_bus_2403"/>
        <xdr:cNvPicPr/>
      </xdr:nvPicPr>
      <xdr:blipFill>
        <a:blip r:embed="rId6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27" name="ID_13A0107700F6443EAA7AF464C52F9082" descr="icon_screw_2103"/>
        <xdr:cNvPicPr/>
      </xdr:nvPicPr>
      <xdr:blipFill>
        <a:blip r:embed="rId7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28" name="ID_0723869AC903431F9D1FC3DA84F32317" descr="icon_jam_2201"/>
        <xdr:cNvPicPr/>
      </xdr:nvPicPr>
      <xdr:blipFill>
        <a:blip r:embed="rId8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29" name="ID_EE02EA6CCF23457581CB013586798B89" descr="icon_jam_2202"/>
        <xdr:cNvPicPr/>
      </xdr:nvPicPr>
      <xdr:blipFill>
        <a:blip r:embed="rId9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0" name="ID_2BB00A3DB7464BBA837A10CFCEB9E08C" descr="icon_tile_2301"/>
        <xdr:cNvPicPr/>
      </xdr:nvPicPr>
      <xdr:blipFill>
        <a:blip r:embed="rId10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1" name="ID_90A479472AD44331B13F975A97AEBCCE" descr="icon_tile_2302"/>
        <xdr:cNvPicPr/>
      </xdr:nvPicPr>
      <xdr:blipFill>
        <a:blip r:embed="rId11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2" name="ID_A769F0FA36A44F27941DDF4FDEDD39DF" descr="icon_tile_2303"/>
        <xdr:cNvPicPr/>
      </xdr:nvPicPr>
      <xdr:blipFill>
        <a:blip r:embed="rId12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3" name="ID_C6412C55AEED4910A919D76DAA7D0BF9" descr="icon_bus_2401"/>
        <xdr:cNvPicPr/>
      </xdr:nvPicPr>
      <xdr:blipFill>
        <a:blip r:embed="rId13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4" name="ID_1DF6ECC57BBD4D02ADC849FC318A96BF" descr="icon_triple_2502"/>
        <xdr:cNvPicPr/>
      </xdr:nvPicPr>
      <xdr:blipFill>
        <a:blip r:embed="rId14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5" name="ID_070B7AB1FBB74D97A541DEE15B57EFC9" descr="icon_bus_2402"/>
        <xdr:cNvPicPr/>
      </xdr:nvPicPr>
      <xdr:blipFill>
        <a:blip r:embed="rId15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6" name="ID_9AE4948B03A44B09AE2354A82C9F0826" descr="icon_bus_2404"/>
        <xdr:cNvPicPr/>
      </xdr:nvPicPr>
      <xdr:blipFill>
        <a:blip r:embed="rId16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7" name="ID_16F2BC7B538B450384FA4A491076C5C5" descr="icon_triple_2501"/>
        <xdr:cNvPicPr/>
      </xdr:nvPicPr>
      <xdr:blipFill>
        <a:blip r:embed="rId17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8" name="ID_0D87E80D4FB84FADAF45487C47F9014F" descr="icon_triple_2503"/>
        <xdr:cNvPicPr/>
      </xdr:nvPicPr>
      <xdr:blipFill>
        <a:blip r:embed="rId18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39" name="ID_7936E73D497048A1B2F2F211555D1F87" descr="icon_triple_2504"/>
        <xdr:cNvPicPr/>
      </xdr:nvPicPr>
      <xdr:blipFill>
        <a:blip r:embed="rId19"/>
        <a:stretch>
          <a:fillRect/>
        </a:stretch>
      </xdr:blipFill>
      <xdr:spPr>
        <a:xfrm>
          <a:off x="0" y="0"/>
          <a:ext cx="1955800" cy="1955800"/>
        </a:xfrm>
        <a:prstGeom prst="rect">
          <a:avLst/>
        </a:prstGeom>
      </xdr:spPr>
    </xdr:pic>
  </etc:cellImage>
  <etc:cellImage>
    <xdr:pic>
      <xdr:nvPicPr>
        <xdr:cNvPr id="40" name="ID_8A86D14AFADF4DDFB4F05315BDE79CAC" descr="icon_noads"/>
        <xdr:cNvPicPr/>
      </xdr:nvPicPr>
      <xdr:blipFill>
        <a:blip r:embed="rId20"/>
        <a:stretch>
          <a:fillRect/>
        </a:stretch>
      </xdr:blipFill>
      <xdr:spPr>
        <a:xfrm>
          <a:off x="0" y="0"/>
          <a:ext cx="1625600" cy="16256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<sst xmlns="http://schemas.openxmlformats.org/spreadsheetml/2006/main" count="99" uniqueCount="92">
  <si>
    <t>ID</t>
  </si>
  <si>
    <t>名称ID</t>
  </si>
  <si>
    <t>图标</t>
  </si>
  <si>
    <t>参数1</t>
  </si>
  <si>
    <t>多语言对应Key</t>
  </si>
  <si>
    <t>propID</t>
  </si>
  <si>
    <t>icon</t>
  </si>
  <si>
    <t>param1</t>
  </si>
  <si>
    <t>nameTextKey</t>
  </si>
  <si>
    <t>int</t>
  </si>
  <si>
    <t>string</t>
  </si>
  <si>
    <t>PropID</t>
  </si>
  <si>
    <t>RemoveAD</t>
  </si>
  <si>
    <t>icon_noads</t>
  </si>
  <si>
    <t>Prop_RemoveAD</t>
  </si>
  <si>
    <t>移除广告</t>
  </si>
  <si>
    <t>Energy</t>
  </si>
  <si>
    <t>icon_heart</t>
  </si>
  <si>
    <t>Prop_Energy</t>
  </si>
  <si>
    <t>体力</t>
  </si>
  <si>
    <t>Coin</t>
  </si>
  <si>
    <t>icon_coin</t>
  </si>
  <si>
    <t>Prop_Coin</t>
  </si>
  <si>
    <t>金币</t>
  </si>
  <si>
    <t>ScrewExtraSlot</t>
  </si>
  <si>
    <t>icon_screw_2101</t>
  </si>
  <si>
    <t>Prop_ScrewExtraSlot</t>
  </si>
  <si>
    <t>额外槽</t>
  </si>
  <si>
    <t>ScrewHammer</t>
  </si>
  <si>
    <t>icon_screw_2102</t>
  </si>
  <si>
    <t>Prop_ScrewHammer</t>
  </si>
  <si>
    <t>锤子</t>
  </si>
  <si>
    <t>ScrewExtraBox</t>
  </si>
  <si>
    <t>icon_screw_2103</t>
  </si>
  <si>
    <t>Prop_ScrewExtraBox</t>
  </si>
  <si>
    <t>额外盒子</t>
  </si>
  <si>
    <t>Jam3DShuffle</t>
  </si>
  <si>
    <t>icon_jam_2201</t>
  </si>
  <si>
    <t>Prop_Jam3DShuffle</t>
  </si>
  <si>
    <t>洗牌</t>
  </si>
  <si>
    <t>Jam3DRevert</t>
  </si>
  <si>
    <t>icon_jam_2202</t>
  </si>
  <si>
    <t>Prop_Jam3DReplace</t>
  </si>
  <si>
    <t>还原</t>
  </si>
  <si>
    <t>Jam3DReplace</t>
  </si>
  <si>
    <t>icon_jam_2203</t>
  </si>
  <si>
    <t>Prop_Jam3DRevert</t>
  </si>
  <si>
    <t>待放等待</t>
  </si>
  <si>
    <t>TileRecall</t>
  </si>
  <si>
    <t>icon_tile_2301</t>
  </si>
  <si>
    <t>Prop_TileRecall</t>
  </si>
  <si>
    <t>TileMagnet</t>
  </si>
  <si>
    <t>icon_tile_2302</t>
  </si>
  <si>
    <t>Prop_TileMagnet</t>
  </si>
  <si>
    <t>磁体</t>
  </si>
  <si>
    <t>TileShuffle</t>
  </si>
  <si>
    <t>icon_tile_2303</t>
  </si>
  <si>
    <t>Prop_TileShuffle</t>
  </si>
  <si>
    <t>BusRefreshColor</t>
  </si>
  <si>
    <t>icon_bus_2401</t>
  </si>
  <si>
    <t>Prop_BusCarshift</t>
  </si>
  <si>
    <t>刷新车颜色</t>
  </si>
  <si>
    <t>BusVIPSpot</t>
  </si>
  <si>
    <t>icon_bus_2402</t>
  </si>
  <si>
    <t>Prop_BusMinionshift</t>
  </si>
  <si>
    <t>VIP车位</t>
  </si>
  <si>
    <t>BusSortDepart</t>
  </si>
  <si>
    <t>icon_bus_2403</t>
  </si>
  <si>
    <t>Prop_BusChopper</t>
  </si>
  <si>
    <t>排序小人</t>
  </si>
  <si>
    <t>BusExtraSpot</t>
  </si>
  <si>
    <t>icon_bus_2404</t>
  </si>
  <si>
    <t>Prop_BusAddspot</t>
  </si>
  <si>
    <t>额外停车位</t>
  </si>
  <si>
    <t>TripleEraser</t>
  </si>
  <si>
    <t>icon_triple_2501</t>
  </si>
  <si>
    <t>Prop_TripleEraser</t>
  </si>
  <si>
    <t>消除一组</t>
  </si>
  <si>
    <t>4个</t>
  </si>
  <si>
    <t>TripleRevert</t>
  </si>
  <si>
    <t>icon_triple_2502</t>
  </si>
  <si>
    <t>Prop_TripleRecall</t>
  </si>
  <si>
    <t>3步</t>
  </si>
  <si>
    <t>TripleHint</t>
  </si>
  <si>
    <t>icon_triple_2503</t>
  </si>
  <si>
    <t>Prop_TripleCompass</t>
  </si>
  <si>
    <t>提示一组</t>
  </si>
  <si>
    <t>TripleAddTime</t>
  </si>
  <si>
    <t>icon_triple_2504</t>
  </si>
  <si>
    <t>Prop_TripleHourglass</t>
  </si>
  <si>
    <t>增加时间</t>
  </si>
  <si>
    <t>20s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</si>
</sst>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NumberFormat="1" applyFont="1" applyFill="1" applyBorder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130" zoomScaleNormal="130" topLeftCell="A5" workbookViewId="0">
      <selection activeCell="C13" sqref="C13"/>
    </sheetView>
  </sheetViews>
  <sheetFormatPr defaultColWidth="9" defaultRowHeight="13.5"/>
  <cols>
    <col min="1" max="1" width="7.88333333333333" customWidth="1"/>
    <col min="2" max="2" width="16.825" customWidth="1"/>
    <col min="3" max="3" width="19.4083333333333" customWidth="1"/>
    <col min="4" max="4" width="7.5" customWidth="1"/>
    <col min="5" max="5" width="20.8666666666667" customWidth="1"/>
    <col min="6" max="6" width="14" customWidth="1"/>
    <col min="7" max="7" width="9.03333333333333" customWidth="1"/>
    <col min="8" max="8" width="9.99166666666667" customWidth="1"/>
    <col min="9" max="9" width="8.74166666666667" customWidth="1"/>
    <col min="10" max="10" width="6.63333333333333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0</v>
      </c>
      <c r="B2" s="1" t="s">
        <v>5</v>
      </c>
      <c r="C2" s="1" t="s">
        <v>6</v>
      </c>
      <c r="D2" s="2" t="s">
        <v>7</v>
      </c>
      <c r="E2" s="1" t="s">
        <v>8</v>
      </c>
    </row>
    <row r="3" ht="16.5" spans="1:5">
      <c r="A3" s="1"/>
      <c r="B3" s="1"/>
      <c r="C3" s="1"/>
      <c r="D3" s="1"/>
      <c r="E3" s="1"/>
    </row>
    <row r="4" ht="16.5" spans="1:5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</row>
    <row r="5" ht="16.5" spans="1:5">
      <c r="A5" s="1"/>
      <c r="B5" s="1"/>
      <c r="C5" s="1"/>
      <c r="D5" s="1"/>
      <c r="E5" s="1"/>
    </row>
    <row r="6" ht="16.5" spans="1:5">
      <c r="A6" s="1"/>
      <c r="B6" s="1" t="s">
        <v>11</v>
      </c>
      <c r="C6" s="1"/>
      <c r="D6" s="1"/>
      <c r="E6" s="1"/>
    </row>
    <row r="7" ht="20" customHeight="1" spans="1:10">
      <c r="A7" s="3">
        <v>101</v>
      </c>
      <c r="B7" s="4" t="s">
        <v>12</v>
      </c>
      <c r="C7" s="4" t="s">
        <v>13</v>
      </c>
      <c r="D7" s="4"/>
      <c r="E7" s="5" t="s">
        <v>14</v>
      </c>
      <c r="F7" t="s">
        <v>15</v>
      </c>
      <c r="J7" s="10" t="str">
        <f>_xlfn.DISPIMG("ID_8A86D14AFADF4DDFB4F05315BDE79CAC",1)</f>
        <v>=DISPIMG("ID_8A86D14AFADF4DDFB4F05315BDE79CAC",1)</v>
      </c>
    </row>
    <row r="8" ht="20" customHeight="1" spans="1:10">
      <c r="A8" s="3">
        <v>102</v>
      </c>
      <c r="B8" s="4" t="s">
        <v>16</v>
      </c>
      <c r="C8" s="4" t="s">
        <v>17</v>
      </c>
      <c r="D8" s="4"/>
      <c r="E8" s="5" t="s">
        <v>18</v>
      </c>
      <c r="F8" t="s">
        <v>19</v>
      </c>
      <c r="I8">
        <v>19001</v>
      </c>
      <c r="J8" s="10" t="str">
        <f>_xlfn.DISPIMG("ID_4BD3AA878E3B48F6B93BD94C884F1441",1)</f>
        <v>=DISPIMG("ID_4BD3AA878E3B48F6B93BD94C884F1441",1)</v>
      </c>
    </row>
    <row r="9" ht="20" customHeight="1" spans="1:10">
      <c r="A9" s="3">
        <v>103</v>
      </c>
      <c r="B9" s="4" t="s">
        <v>20</v>
      </c>
      <c r="C9" s="4" t="s">
        <v>21</v>
      </c>
      <c r="D9" s="4"/>
      <c r="E9" s="4" t="s">
        <v>22</v>
      </c>
      <c r="F9" t="s">
        <v>23</v>
      </c>
      <c r="I9">
        <v>10010</v>
      </c>
      <c r="J9" s="10" t="str">
        <f>_xlfn.DISPIMG("ID_0254CAB0A0444BDE9711CB6F00184B94",1)</f>
        <v>=DISPIMG("ID_0254CAB0A0444BDE9711CB6F00184B94",1)</v>
      </c>
    </row>
    <row r="10" ht="20" customHeight="1" spans="1:10">
      <c r="A10" s="6">
        <v>2101</v>
      </c>
      <c r="B10" s="7" t="s">
        <v>24</v>
      </c>
      <c r="C10" s="7" t="s">
        <v>25</v>
      </c>
      <c r="D10" s="7"/>
      <c r="E10" s="7" t="s">
        <v>26</v>
      </c>
      <c r="F10" t="s">
        <v>27</v>
      </c>
      <c r="I10">
        <v>19036</v>
      </c>
      <c r="J10" s="10" t="str">
        <f>_xlfn.DISPIMG("ID_BF121E495A924C9C81BAD750C6530409",1)</f>
        <v>=DISPIMG("ID_BF121E495A924C9C81BAD750C6530409",1)</v>
      </c>
    </row>
    <row r="11" ht="20" customHeight="1" spans="1:10">
      <c r="A11" s="6">
        <v>2102</v>
      </c>
      <c r="B11" s="7" t="s">
        <v>28</v>
      </c>
      <c r="C11" s="7" t="s">
        <v>29</v>
      </c>
      <c r="D11" s="7"/>
      <c r="E11" s="7" t="s">
        <v>30</v>
      </c>
      <c r="F11" t="s">
        <v>31</v>
      </c>
      <c r="I11">
        <v>19037</v>
      </c>
      <c r="J11" s="10" t="str">
        <f>_xlfn.DISPIMG("ID_B63BBEDD626B4C73A3A0A03E1A905A35",1)</f>
        <v>=DISPIMG("ID_B63BBEDD626B4C73A3A0A03E1A905A35",1)</v>
      </c>
    </row>
    <row r="12" ht="20" customHeight="1" spans="1:10">
      <c r="A12" s="6">
        <v>2103</v>
      </c>
      <c r="B12" s="7" t="s">
        <v>32</v>
      </c>
      <c r="C12" s="7" t="s">
        <v>33</v>
      </c>
      <c r="D12" s="7"/>
      <c r="E12" s="7" t="s">
        <v>34</v>
      </c>
      <c r="F12" t="s">
        <v>35</v>
      </c>
      <c r="I12">
        <v>19038</v>
      </c>
      <c r="J12" s="10" t="str">
        <f>_xlfn.DISPIMG("ID_13A0107700F6443EAA7AF464C52F9082",1)</f>
        <v>=DISPIMG("ID_13A0107700F6443EAA7AF464C52F9082",1)</v>
      </c>
    </row>
    <row r="13" ht="20" customHeight="1" spans="1:10">
      <c r="A13" s="8">
        <v>2201</v>
      </c>
      <c r="B13" s="9" t="s">
        <v>36</v>
      </c>
      <c r="C13" s="9" t="s">
        <v>37</v>
      </c>
      <c r="D13" s="9"/>
      <c r="E13" s="9" t="s">
        <v>38</v>
      </c>
      <c r="F13" t="s">
        <v>39</v>
      </c>
      <c r="I13">
        <v>19027</v>
      </c>
      <c r="J13" s="10" t="str">
        <f>_xlfn.DISPIMG("ID_0723869AC903431F9D1FC3DA84F32317",1)</f>
        <v>=DISPIMG("ID_0723869AC903431F9D1FC3DA84F32317",1)</v>
      </c>
    </row>
    <row r="14" ht="20" customHeight="1" spans="1:10">
      <c r="A14" s="8">
        <v>2202</v>
      </c>
      <c r="B14" s="9" t="s">
        <v>40</v>
      </c>
      <c r="C14" s="9" t="s">
        <v>41</v>
      </c>
      <c r="D14" s="9"/>
      <c r="E14" s="9" t="s">
        <v>42</v>
      </c>
      <c r="F14" t="s">
        <v>43</v>
      </c>
      <c r="I14">
        <v>19029</v>
      </c>
      <c r="J14" s="10" t="str">
        <f>_xlfn.DISPIMG("ID_EE02EA6CCF23457581CB013586798B89",1)</f>
        <v>=DISPIMG("ID_EE02EA6CCF23457581CB013586798B89",1)</v>
      </c>
    </row>
    <row r="15" ht="20" customHeight="1" spans="1:10">
      <c r="A15" s="8">
        <v>2203</v>
      </c>
      <c r="B15" s="9" t="s">
        <v>44</v>
      </c>
      <c r="C15" s="9" t="s">
        <v>45</v>
      </c>
      <c r="D15" s="9"/>
      <c r="E15" s="9" t="s">
        <v>46</v>
      </c>
      <c r="F15" t="s">
        <v>47</v>
      </c>
      <c r="I15">
        <v>19028</v>
      </c>
      <c r="J15" s="10" t="str">
        <f>_xlfn.DISPIMG("ID_24FEB584921A4827AA5E9DA269E99635",1)</f>
        <v>=DISPIMG("ID_24FEB584921A4827AA5E9DA269E99635",1)</v>
      </c>
    </row>
    <row r="16" ht="20" customHeight="1" spans="1:10">
      <c r="A16" s="6">
        <v>2301</v>
      </c>
      <c r="B16" s="7" t="s">
        <v>48</v>
      </c>
      <c r="C16" s="7" t="s">
        <v>49</v>
      </c>
      <c r="D16" s="7"/>
      <c r="E16" s="7" t="s">
        <v>50</v>
      </c>
      <c r="F16" t="s">
        <v>47</v>
      </c>
      <c r="I16">
        <v>19002</v>
      </c>
      <c r="J16" s="10" t="str">
        <f>_xlfn.DISPIMG("ID_2BB00A3DB7464BBA837A10CFCEB9E08C",1)</f>
        <v>=DISPIMG("ID_2BB00A3DB7464BBA837A10CFCEB9E08C",1)</v>
      </c>
    </row>
    <row r="17" ht="20" customHeight="1" spans="1:10">
      <c r="A17" s="6">
        <v>2302</v>
      </c>
      <c r="B17" s="7" t="s">
        <v>51</v>
      </c>
      <c r="C17" s="7" t="s">
        <v>52</v>
      </c>
      <c r="D17" s="7"/>
      <c r="E17" s="7" t="s">
        <v>53</v>
      </c>
      <c r="F17" t="s">
        <v>54</v>
      </c>
      <c r="I17">
        <v>19003</v>
      </c>
      <c r="J17" s="10" t="str">
        <f>_xlfn.DISPIMG("ID_90A479472AD44331B13F975A97AEBCCE",1)</f>
        <v>=DISPIMG("ID_90A479472AD44331B13F975A97AEBCCE",1)</v>
      </c>
    </row>
    <row r="18" ht="20" customHeight="1" spans="1:10">
      <c r="A18" s="6">
        <v>2303</v>
      </c>
      <c r="B18" s="7" t="s">
        <v>55</v>
      </c>
      <c r="C18" s="7" t="s">
        <v>56</v>
      </c>
      <c r="D18" s="7"/>
      <c r="E18" s="7" t="s">
        <v>57</v>
      </c>
      <c r="F18" t="s">
        <v>39</v>
      </c>
      <c r="I18">
        <v>19004</v>
      </c>
      <c r="J18" s="10" t="str">
        <f>_xlfn.DISPIMG("ID_A769F0FA36A44F27941DDF4FDEDD39DF",1)</f>
        <v>=DISPIMG("ID_A769F0FA36A44F27941DDF4FDEDD39DF",1)</v>
      </c>
    </row>
    <row r="19" ht="20" customHeight="1" spans="1:10">
      <c r="A19" s="8">
        <v>2401</v>
      </c>
      <c r="B19" s="9" t="s">
        <v>58</v>
      </c>
      <c r="C19" s="9" t="s">
        <v>59</v>
      </c>
      <c r="D19" s="9"/>
      <c r="E19" s="9" t="s">
        <v>60</v>
      </c>
      <c r="F19" t="s">
        <v>61</v>
      </c>
      <c r="I19">
        <v>19039</v>
      </c>
      <c r="J19" s="10" t="str">
        <f>_xlfn.DISPIMG("ID_C6412C55AEED4910A919D76DAA7D0BF9",1)</f>
        <v>=DISPIMG("ID_C6412C55AEED4910A919D76DAA7D0BF9",1)</v>
      </c>
    </row>
    <row r="20" ht="20" customHeight="1" spans="1:10">
      <c r="A20" s="8">
        <v>2402</v>
      </c>
      <c r="B20" s="9" t="s">
        <v>62</v>
      </c>
      <c r="C20" s="9" t="s">
        <v>63</v>
      </c>
      <c r="D20" s="9"/>
      <c r="E20" s="9" t="s">
        <v>64</v>
      </c>
      <c r="F20" t="s">
        <v>65</v>
      </c>
      <c r="I20">
        <v>19041</v>
      </c>
      <c r="J20" s="10" t="str">
        <f>_xlfn.DISPIMG("ID_070B7AB1FBB74D97A541DEE15B57EFC9",1)</f>
        <v>=DISPIMG("ID_070B7AB1FBB74D97A541DEE15B57EFC9",1)</v>
      </c>
    </row>
    <row r="21" ht="20" customHeight="1" spans="1:10">
      <c r="A21" s="8">
        <v>2403</v>
      </c>
      <c r="B21" s="9" t="s">
        <v>66</v>
      </c>
      <c r="C21" s="9" t="s">
        <v>67</v>
      </c>
      <c r="D21" s="9"/>
      <c r="E21" s="9" t="s">
        <v>68</v>
      </c>
      <c r="F21" t="s">
        <v>69</v>
      </c>
      <c r="I21">
        <v>19040</v>
      </c>
      <c r="J21" s="10" t="str">
        <f>_xlfn.DISPIMG("ID_7DA6758F91324D5FB4776157E63B4869",1)</f>
        <v>=DISPIMG("ID_7DA6758F91324D5FB4776157E63B4869",1)</v>
      </c>
    </row>
    <row r="22" ht="20" customHeight="1" spans="1:10">
      <c r="A22" s="8">
        <v>2404</v>
      </c>
      <c r="B22" s="9" t="s">
        <v>70</v>
      </c>
      <c r="C22" s="9" t="s">
        <v>71</v>
      </c>
      <c r="D22" s="9"/>
      <c r="E22" s="9" t="s">
        <v>72</v>
      </c>
      <c r="F22" t="s">
        <v>73</v>
      </c>
      <c r="I22">
        <v>19042</v>
      </c>
      <c r="J22" s="10" t="str">
        <f>_xlfn.DISPIMG("ID_9AE4948B03A44B09AE2354A82C9F0826",1)</f>
        <v>=DISPIMG("ID_9AE4948B03A44B09AE2354A82C9F0826",1)</v>
      </c>
    </row>
    <row r="23" ht="20" customHeight="1" spans="1:10">
      <c r="A23" s="6">
        <v>2501</v>
      </c>
      <c r="B23" s="7" t="s">
        <v>74</v>
      </c>
      <c r="C23" s="7" t="s">
        <v>75</v>
      </c>
      <c r="D23" s="7">
        <v>4</v>
      </c>
      <c r="E23" s="7" t="s">
        <v>76</v>
      </c>
      <c r="F23" t="s">
        <v>77</v>
      </c>
      <c r="G23" t="s">
        <v>78</v>
      </c>
      <c r="I23">
        <v>19143</v>
      </c>
      <c r="J23" s="10" t="str">
        <f>_xlfn.DISPIMG("ID_16F2BC7B538B450384FA4A491076C5C5",1)</f>
        <v>=DISPIMG("ID_16F2BC7B538B450384FA4A491076C5C5",1)</v>
      </c>
    </row>
    <row r="24" ht="20" customHeight="1" spans="1:10">
      <c r="A24" s="6">
        <v>2502</v>
      </c>
      <c r="B24" s="7" t="s">
        <v>79</v>
      </c>
      <c r="C24" s="7" t="s">
        <v>80</v>
      </c>
      <c r="D24" s="7">
        <v>3</v>
      </c>
      <c r="E24" s="7" t="s">
        <v>81</v>
      </c>
      <c r="F24" t="s">
        <v>43</v>
      </c>
      <c r="G24" t="s">
        <v>82</v>
      </c>
      <c r="I24">
        <v>19144</v>
      </c>
      <c r="J24" s="10" t="str">
        <f>_xlfn.DISPIMG("ID_1DF6ECC57BBD4D02ADC849FC318A96BF",1)</f>
        <v>=DISPIMG("ID_1DF6ECC57BBD4D02ADC849FC318A96BF",1)</v>
      </c>
    </row>
    <row r="25" ht="20" customHeight="1" spans="1:10">
      <c r="A25" s="6">
        <v>2503</v>
      </c>
      <c r="B25" s="7" t="s">
        <v>83</v>
      </c>
      <c r="C25" s="7" t="s">
        <v>84</v>
      </c>
      <c r="D25" s="7"/>
      <c r="E25" s="7" t="s">
        <v>85</v>
      </c>
      <c r="F25" t="s">
        <v>86</v>
      </c>
      <c r="I25">
        <v>19045</v>
      </c>
      <c r="J25" s="10" t="str">
        <f>_xlfn.DISPIMG("ID_0D87E80D4FB84FADAF45487C47F9014F",1)</f>
        <v>=DISPIMG("ID_0D87E80D4FB84FADAF45487C47F9014F",1)</v>
      </c>
    </row>
    <row r="26" ht="20" customHeight="1" spans="1:10">
      <c r="A26" s="6">
        <v>2504</v>
      </c>
      <c r="B26" s="7" t="s">
        <v>87</v>
      </c>
      <c r="C26" s="7" t="s">
        <v>88</v>
      </c>
      <c r="D26" s="7">
        <v>20</v>
      </c>
      <c r="E26" s="7" t="s">
        <v>89</v>
      </c>
      <c r="F26" t="s">
        <v>90</v>
      </c>
      <c r="G26" t="s">
        <v>91</v>
      </c>
      <c r="I26">
        <v>19146</v>
      </c>
      <c r="J26" s="10" t="str">
        <f>_xlfn.DISPIMG("ID_7936E73D497048A1B2F2F211555D1F87",1)</f>
        <v>=DISPIMG("ID_7936E73D497048A1B2F2F211555D1F87",1)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奈斯</cp:lastModifiedBy>
  <cp:revision>3</cp:revision>
  <dcterms:created xsi:type="dcterms:W3CDTF">2024-05-20T11:55:00Z</dcterms:created>
  <dcterms:modified xsi:type="dcterms:W3CDTF">2025-04-27T11:34:12Z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B37E338750AB4AB69B8FE9CE6C422900_12</vt:lpwstr>
  </property>
</Properties>
</file>